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 Data 4 Aug 2026\FPA\AI\Capstone project 2\"/>
    </mc:Choice>
  </mc:AlternateContent>
  <xr:revisionPtr revIDLastSave="0" documentId="13_ncr:1_{319BA06D-D921-4E26-85F9-BAF3FC744BD2}" xr6:coauthVersionLast="47" xr6:coauthVersionMax="47" xr10:uidLastSave="{00000000-0000-0000-0000-000000000000}"/>
  <bookViews>
    <workbookView xWindow="24" yWindow="24" windowWidth="23016" windowHeight="12216" xr2:uid="{87694B63-E9E9-4ED1-A661-B1A84B642EB3}"/>
  </bookViews>
  <sheets>
    <sheet name="Calculation Assumptions" sheetId="3" r:id="rId1"/>
    <sheet name="Sheet1" sheetId="4" r:id="rId2"/>
  </sheets>
  <definedNames>
    <definedName name="Annual_Infaltion_Rate">'Calculation Assumptions'!$B$5</definedName>
    <definedName name="current_Saving">'Calculation Assumptions'!$B$7</definedName>
    <definedName name="effective_monthly_rate">'Calculation Assumptions'!$B$9</definedName>
    <definedName name="Expected_Investment_Return">'Calculation Assumptions'!$B$6</definedName>
    <definedName name="fund_Value_of_Current_Savings">'Calculation Assumptions'!$B$12</definedName>
    <definedName name="Funding_Gap">'Calculation Assumptions'!$B$13</definedName>
    <definedName name="Goal_amout_today">'Calculation Assumptions'!$B$3</definedName>
    <definedName name="Goal_Value">'Calculation Assumptions'!$B$11</definedName>
    <definedName name="Number_of_Months">'Calculation Assumptions'!$B$8</definedName>
    <definedName name="Projected_growth">'Calculation Assumptions'!$B$16</definedName>
    <definedName name="Required_Monthly_contribution">'Calculation Assumptions'!$B$14</definedName>
    <definedName name="Total_Monhtly_contributions">'Calculation Assumptions'!$B$15</definedName>
    <definedName name="years_to_Goal">'Calculation Assumptions'!$B$4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3" l="1"/>
  <c r="B11" i="3"/>
  <c r="B9" i="3"/>
  <c r="B8" i="3"/>
  <c r="B13" i="3" l="1"/>
  <c r="B14" i="3" s="1"/>
  <c r="B15" i="3" s="1"/>
  <c r="B16" i="3" s="1"/>
</calcChain>
</file>

<file path=xl/sharedStrings.xml><?xml version="1.0" encoding="utf-8"?>
<sst xmlns="http://schemas.openxmlformats.org/spreadsheetml/2006/main" count="18" uniqueCount="18">
  <si>
    <t>Goal Amount Today</t>
  </si>
  <si>
    <t>Years to Goal</t>
  </si>
  <si>
    <t>Annual Inflation Rate</t>
  </si>
  <si>
    <t>Expected Annual Return</t>
  </si>
  <si>
    <t>Current Savings</t>
  </si>
  <si>
    <t>Number of Months</t>
  </si>
  <si>
    <t>Effective Monthly Return</t>
  </si>
  <si>
    <t>Future Goal Value</t>
  </si>
  <si>
    <t>Future Value of Current Savings</t>
  </si>
  <si>
    <t>Funding Gap</t>
  </si>
  <si>
    <t>Required Monthly Contribution</t>
  </si>
  <si>
    <t>Total Monthly Contributions</t>
  </si>
  <si>
    <t>GoalBridge – Finance Verification Model</t>
  </si>
  <si>
    <t>INPUTS / ASSUMPTIONS</t>
  </si>
  <si>
    <t>CALCULATED RESULTS</t>
  </si>
  <si>
    <t>Projected Growth</t>
  </si>
  <si>
    <t>Value / Formula</t>
  </si>
  <si>
    <t>Cells B3:B7 contain the user-input assumptions. Cells B8:B16 contain calculated values/formulas and should not be manually entered.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</si>
</sst>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9" formatCode="0.0000%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 applyProtection="1">
      <alignment vertical="center" wrapText="1"/>
      <protection locked="0"/>
    </xf>
    <xf numFmtId="0" fontId="3" fillId="2" borderId="4" xfId="0" applyFont="1" applyFill="1" applyBorder="1" applyAlignment="1" applyProtection="1">
      <alignment vertical="center" wrapText="1"/>
      <protection locked="0"/>
    </xf>
    <xf numFmtId="0" fontId="3" fillId="2" borderId="3" xfId="0" applyFont="1" applyFill="1" applyBorder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0" fontId="3" fillId="2" borderId="5" xfId="0" applyFont="1" applyFill="1" applyBorder="1" applyAlignment="1" applyProtection="1">
      <alignment vertical="center" wrapText="1"/>
      <protection locked="0"/>
    </xf>
    <xf numFmtId="0" fontId="4" fillId="2" borderId="2" xfId="0" applyFont="1" applyFill="1" applyBorder="1" applyAlignment="1" applyProtection="1">
      <alignment vertical="center" wrapText="1"/>
      <protection locked="0"/>
    </xf>
    <xf numFmtId="0" fontId="0" fillId="0" borderId="2" xfId="0" applyBorder="1" applyAlignment="1" applyProtection="1">
      <alignment vertical="center" wrapText="1"/>
      <protection locked="0"/>
    </xf>
    <xf numFmtId="164" fontId="2" fillId="0" borderId="1" xfId="0" applyNumberFormat="1" applyFont="1" applyBorder="1" applyAlignment="1" applyProtection="1">
      <alignment vertical="center" wrapText="1"/>
      <protection locked="0"/>
    </xf>
    <xf numFmtId="0" fontId="2" fillId="0" borderId="1" xfId="0" applyFont="1" applyBorder="1" applyAlignment="1" applyProtection="1">
      <alignment vertical="center" wrapText="1"/>
      <protection locked="0"/>
    </xf>
    <xf numFmtId="9" fontId="2" fillId="0" borderId="1" xfId="0" applyNumberFormat="1" applyFont="1" applyBorder="1" applyAlignment="1" applyProtection="1">
      <alignment vertical="center" wrapText="1"/>
      <protection locked="0"/>
    </xf>
    <xf numFmtId="0" fontId="3" fillId="2" borderId="1" xfId="0" applyFont="1" applyFill="1" applyBorder="1" applyAlignment="1" applyProtection="1">
      <alignment vertical="center" wrapText="1"/>
      <protection locked="0"/>
    </xf>
    <xf numFmtId="164" fontId="0" fillId="0" borderId="0" xfId="0" applyNumberFormat="1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2" fillId="0" borderId="1" xfId="0" applyFont="1" applyBorder="1" applyAlignment="1" applyProtection="1">
      <alignment vertical="center" wrapText="1"/>
    </xf>
    <xf numFmtId="169" fontId="2" fillId="0" borderId="1" xfId="0" applyNumberFormat="1" applyFont="1" applyBorder="1" applyAlignment="1" applyProtection="1">
      <alignment vertical="center" wrapText="1"/>
    </xf>
    <xf numFmtId="0" fontId="0" fillId="2" borderId="1" xfId="0" applyFill="1" applyBorder="1" applyAlignment="1" applyProtection="1">
      <alignment vertical="center" wrapText="1"/>
    </xf>
    <xf numFmtId="164" fontId="2" fillId="0" borderId="1" xfId="0" applyNumberFormat="1" applyFont="1" applyBorder="1" applyAlignment="1" applyProtection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8400-0682-46A5-A06B-C879E5C6D2A2}">
  <dimension ref="A1:B18"/>
  <sheetViews>
    <sheetView tabSelected="1" workbookViewId="0">
      <selection activeCell="B15" sqref="B15"/>
    </sheetView>
  </sheetViews>
  <sheetFormatPr defaultRowHeight="14.4"/>
  <cols>
    <col min="1" max="1" width="32.6640625" style="4" customWidth="1"/>
    <col min="2" max="2" width="13.33203125" style="4" bestFit="1" customWidth="1"/>
    <col min="3" max="16384" width="8.88671875" style="4"/>
  </cols>
  <sheetData>
    <row r="1" spans="1:2" ht="28.8">
      <c r="A1" s="2" t="s">
        <v>12</v>
      </c>
      <c r="B1" s="3" t="s">
        <v>16</v>
      </c>
    </row>
    <row r="2" spans="1:2">
      <c r="A2" s="5" t="s">
        <v>13</v>
      </c>
      <c r="B2" s="6"/>
    </row>
    <row r="3" spans="1:2">
      <c r="A3" s="7" t="s">
        <v>0</v>
      </c>
      <c r="B3" s="8">
        <v>1200000</v>
      </c>
    </row>
    <row r="4" spans="1:2">
      <c r="A4" s="1" t="s">
        <v>1</v>
      </c>
      <c r="B4" s="9">
        <v>10</v>
      </c>
    </row>
    <row r="5" spans="1:2">
      <c r="A5" s="1" t="s">
        <v>2</v>
      </c>
      <c r="B5" s="10">
        <v>0.06</v>
      </c>
    </row>
    <row r="6" spans="1:2">
      <c r="A6" s="1" t="s">
        <v>3</v>
      </c>
      <c r="B6" s="10">
        <v>0.1</v>
      </c>
    </row>
    <row r="7" spans="1:2">
      <c r="A7" s="1" t="s">
        <v>4</v>
      </c>
      <c r="B7" s="8">
        <v>150000</v>
      </c>
    </row>
    <row r="8" spans="1:2">
      <c r="A8" s="1" t="s">
        <v>5</v>
      </c>
      <c r="B8" s="14">
        <f>years_to_Goal*12</f>
        <v>120</v>
      </c>
    </row>
    <row r="9" spans="1:2">
      <c r="A9" s="1" t="s">
        <v>6</v>
      </c>
      <c r="B9" s="15">
        <f>(1+Expected_Investment_Return)^(1/12)-1</f>
        <v>7.9741404289037643E-3</v>
      </c>
    </row>
    <row r="10" spans="1:2">
      <c r="A10" s="11" t="s">
        <v>14</v>
      </c>
      <c r="B10" s="16"/>
    </row>
    <row r="11" spans="1:2">
      <c r="A11" s="1" t="s">
        <v>7</v>
      </c>
      <c r="B11" s="17">
        <f>Goal_amout_today*(1+Annual_Infaltion_Rate)^years_to_Goal</f>
        <v>2149017.2358514257</v>
      </c>
    </row>
    <row r="12" spans="1:2">
      <c r="A12" s="1" t="s">
        <v>8</v>
      </c>
      <c r="B12" s="17">
        <f>current_Saving*(1+Expected_Investment_Return)^years_to_Goal</f>
        <v>389061.36901500029</v>
      </c>
    </row>
    <row r="13" spans="1:2">
      <c r="A13" s="1" t="s">
        <v>9</v>
      </c>
      <c r="B13" s="17">
        <f>MAX(0,Goal_Value-fund_Value_of_Current_Savings)</f>
        <v>1759955.8668364254</v>
      </c>
    </row>
    <row r="14" spans="1:2">
      <c r="A14" s="1" t="s">
        <v>10</v>
      </c>
      <c r="B14" s="17">
        <f>IF(effective_monthly_rate=0,Funding_Gap/Number_of_Months,Funding_Gap*effective_monthly_rate/((1+effective_monthly_rate)^Number_of_Months-1))</f>
        <v>8805.7735689278506</v>
      </c>
    </row>
    <row r="15" spans="1:2">
      <c r="A15" s="1" t="s">
        <v>11</v>
      </c>
      <c r="B15" s="17">
        <f>Required_Monthly_contribution*Number_of_Months</f>
        <v>1056692.828271342</v>
      </c>
    </row>
    <row r="16" spans="1:2">
      <c r="A16" s="1" t="s">
        <v>15</v>
      </c>
      <c r="B16" s="17">
        <f>Funding_Gap-Total_Monhtly_contributions</f>
        <v>703263.03856508341</v>
      </c>
    </row>
    <row r="17" spans="1:2">
      <c r="B17" s="12"/>
    </row>
    <row r="18" spans="1:2" ht="45.6" customHeight="1">
      <c r="A18" s="13" t="s">
        <v>17</v>
      </c>
      <c r="B18" s="13"/>
    </row>
  </sheetData>
  <sheetProtection sheet="1"/>
  <mergeCells count="1">
    <mergeCell ref="A18:B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46A69-7A9F-4FD4-8084-13C5A2007021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</vt:i4>
      </vt:variant>
    </vt:vector>
  </HeadingPairs>
  <TitlesOfParts>
    <vt:vector size="15" baseType="lpstr">
      <vt:lpstr>Calculation Assumptions</vt:lpstr>
      <vt:lpstr>Sheet1</vt:lpstr>
      <vt:lpstr>Annual_Infaltion_Rate</vt:lpstr>
      <vt:lpstr>current_Saving</vt:lpstr>
      <vt:lpstr>effective_monthly_rate</vt:lpstr>
      <vt:lpstr>Expected_Investment_Return</vt:lpstr>
      <vt:lpstr>fund_Value_of_Current_Savings</vt:lpstr>
      <vt:lpstr>Funding_Gap</vt:lpstr>
      <vt:lpstr>Goal_amout_today</vt:lpstr>
      <vt:lpstr>Goal_Value</vt:lpstr>
      <vt:lpstr>Number_of_Months</vt:lpstr>
      <vt:lpstr>Projected_growth</vt:lpstr>
      <vt:lpstr>Required_Monthly_contribution</vt:lpstr>
      <vt:lpstr>Total_Monhtly_contributions</vt:lpstr>
      <vt:lpstr>years_to_Goal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Sharma</dc:creator>
  <cp:lastModifiedBy>Sudhir Sharma</cp:lastModifiedBy>
  <dcterms:created xsi:type="dcterms:W3CDTF">2026-09-07T18:16:19Z</dcterms:created>
  <dcterms:modified xsi:type="dcterms:W3CDTF">2026-09-07T22:13:02Z</dcterms:modified>
</cp:coreProperties>
</file>