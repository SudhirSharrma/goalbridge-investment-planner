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Desktop Data 4 Aug 2026\FPA\AI\Capstone project 2\"/>
    </mc:Choice>
  </mc:AlternateContent>
  <xr:revisionPtr revIDLastSave="0" documentId="13_ncr:1_{81D9EE96-A343-4BC8-8E38-2938C0A7B036}" xr6:coauthVersionLast="47" xr6:coauthVersionMax="47" xr10:uidLastSave="{00000000-0000-0000-0000-000000000000}"/>
  <bookViews>
    <workbookView xWindow="-108" yWindow="-108" windowWidth="23256" windowHeight="12456" activeTab="2" xr2:uid="{87694B63-E9E9-4ED1-A661-B1A84B642EB3}"/>
  </bookViews>
  <sheets>
    <sheet name="Calculation Assumptions" sheetId="3" r:id="rId1"/>
    <sheet name="Defect Sheet" sheetId="4" r:id="rId2"/>
    <sheet name="Audhit Trail" sheetId="5" r:id="rId3"/>
  </sheets>
  <definedNames>
    <definedName name="Annual_Infaltion_Rate">'Calculation Assumptions'!$B$5</definedName>
    <definedName name="current_Saving">'Calculation Assumptions'!$B$7</definedName>
    <definedName name="effective_monthly_rate">'Calculation Assumptions'!$B$9</definedName>
    <definedName name="Expected_Investment_Return">'Calculation Assumptions'!$B$6</definedName>
    <definedName name="fund_Value_of_Current_Savings">'Calculation Assumptions'!$B$12</definedName>
    <definedName name="Funding_Gap">'Calculation Assumptions'!$B$13</definedName>
    <definedName name="Goal_amout_today">'Calculation Assumptions'!$B$3</definedName>
    <definedName name="Goal_Value">'Calculation Assumptions'!$B$11</definedName>
    <definedName name="Number_of_Months">'Calculation Assumptions'!$B$8</definedName>
    <definedName name="Projected_growth">'Calculation Assumptions'!$B$16</definedName>
    <definedName name="Required_Monthly_contribution">'Calculation Assumptions'!$B$14</definedName>
    <definedName name="Total_Monhtly_contributions">'Calculation Assumptions'!$B$15</definedName>
    <definedName name="years_to_Goal">'Calculation Assumptions'!$B$4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3" l="1"/>
  <c r="B11" i="3"/>
  <c r="B9" i="3"/>
  <c r="B8" i="3"/>
  <c r="B13" i="3" l="1"/>
  <c r="B14" i="3" s="1"/>
  <c r="B15" i="3" s="1"/>
  <c r="B16" i="3" s="1"/>
</calcChain>
</file>

<file path=xl/sharedStrings.xml><?xml version="1.0" encoding="utf-8"?>
<sst xmlns="http://schemas.openxmlformats.org/spreadsheetml/2006/main" count="109" uniqueCount="104">
  <si>
    <t>Goal Amount Today</t>
  </si>
  <si>
    <t>Years to Goal</t>
  </si>
  <si>
    <t>Annual Inflation Rate</t>
  </si>
  <si>
    <t>Expected Annual Return</t>
  </si>
  <si>
    <t>Current Savings</t>
  </si>
  <si>
    <t>Number of Months</t>
  </si>
  <si>
    <t>Effective Monthly Return</t>
  </si>
  <si>
    <t>Future Goal Value</t>
  </si>
  <si>
    <t>Future Value of Current Savings</t>
  </si>
  <si>
    <t>Funding Gap</t>
  </si>
  <si>
    <t>Required Monthly Contribution</t>
  </si>
  <si>
    <t>Total Monthly Contributions</t>
  </si>
  <si>
    <t>GoalBridge – Finance Verification Model</t>
  </si>
  <si>
    <t>INPUTS / ASSUMPTIONS</t>
  </si>
  <si>
    <t>CALCULATED RESULTS</t>
  </si>
  <si>
    <t>Projected Growth</t>
  </si>
  <si>
    <t>Value / Formula</t>
  </si>
  <si>
    <t>Cells B3:B7 contain the user-input assumptions. Cells B8:B16 contain calculated values/formulas and should not be manually entered.</t>
  </si>
  <si>
    <t>Defect ID</t>
  </si>
  <si>
    <t>Issue</t>
  </si>
  <si>
    <t>Impact</t>
  </si>
  <si>
    <t>Severity</t>
  </si>
  <si>
    <t>DEF01</t>
  </si>
  <si>
    <t>Goal Name containing only spaces bypasses validation</t>
  </si>
  <si>
    <t>User can submit an apparently blank goal name, so required-field validation is incomplete</t>
  </si>
  <si>
    <t>Medium</t>
  </si>
  <si>
    <t>DEF02</t>
  </si>
  <si>
    <t>Validation messages are inconsistent in wording, grammar, and source</t>
  </si>
  <si>
    <t>Low / UX</t>
  </si>
  <si>
    <t>Expected Behaviour</t>
  </si>
  <si>
    <t>trim whitespace before validating. After trimming, an all-space value should be treated as blank and show:</t>
  </si>
  <si>
    <t>Expcted Output</t>
  </si>
  <si>
    <t>Error Messasge:  "Enter a goal name."</t>
  </si>
  <si>
    <r>
      <t xml:space="preserve">First-time users receive a mixture of custom messages and browser-native messages, some of which are unclear or inconsistent.
Current Messsage are as below:
</t>
    </r>
    <r>
      <rPr>
        <b/>
        <sz val="11"/>
        <color theme="1"/>
        <rFont val="Aptos Narrow"/>
        <family val="2"/>
        <scheme val="minor"/>
      </rPr>
      <t>Current messages include:</t>
    </r>
    <r>
      <rPr>
        <sz val="11"/>
        <color theme="1"/>
        <rFont val="Aptos Narrow"/>
        <family val="2"/>
        <scheme val="minor"/>
      </rPr>
      <t xml:space="preserve">
“Enter a goal name”
“goal Amount must be greater than zero”
“Value must be greater than or equal to 0.01”
“Enter Zero or Positive number”
“Please fill in this field”
“years to goal must be positive number”
“Value must be greater than or equal to 1”
“Years to goal must be Positive or Whole number”
“Enter Zero or Positive value”
“enter value no greater than 100”</t>
    </r>
  </si>
  <si>
    <t>Proposed Standard message</t>
  </si>
  <si>
    <t>Field</t>
  </si>
  <si>
    <t>Recommended message</t>
  </si>
  <si>
    <t>Goal Name blank/spaces</t>
  </si>
  <si>
    <t>Enter a goal name.</t>
  </si>
  <si>
    <t>Goal Amount blank</t>
  </si>
  <si>
    <t>Enter the goal amount.</t>
  </si>
  <si>
    <t>Goal Amount ≤ 0</t>
  </si>
  <si>
    <t>Enter a goal amount greater than ₹0.</t>
  </si>
  <si>
    <t>Current Savings blank</t>
  </si>
  <si>
    <t>Enter current savings. Use 0 if you have no savings yet.</t>
  </si>
  <si>
    <t>Current Savings &lt; 0</t>
  </si>
  <si>
    <t>Enter zero or a positive amount.</t>
  </si>
  <si>
    <t>Years blank</t>
  </si>
  <si>
    <t>Enter the number of years to your goal.</t>
  </si>
  <si>
    <t>Years ≤ 0</t>
  </si>
  <si>
    <t>Enter a positive whole number of years.</t>
  </si>
  <si>
    <t>Years decimal</t>
  </si>
  <si>
    <t>Enter a whole number of years.</t>
  </si>
  <si>
    <t>Inflation blank</t>
  </si>
  <si>
    <t>Enter an expected annual inflation rate.</t>
  </si>
  <si>
    <t>Inflation &lt; 0</t>
  </si>
  <si>
    <t>Enter zero or a positive inflation rate.</t>
  </si>
  <si>
    <t>Inflation &gt; allowed maximum</t>
  </si>
  <si>
    <t>Enter an inflation rate no greater than 100%.</t>
  </si>
  <si>
    <t>Return blank</t>
  </si>
  <si>
    <t>Enter an expected annual investment return.</t>
  </si>
  <si>
    <t>Return &lt; 0</t>
  </si>
  <si>
    <t>Enter zero or a positive investment return.</t>
  </si>
  <si>
    <t>Return &gt; 100</t>
  </si>
  <si>
    <t>Enter an investment return no greater than 100%.</t>
  </si>
  <si>
    <t>Messages should have consistnet wordings</t>
  </si>
  <si>
    <t>refer: Propsoed Messages</t>
  </si>
  <si>
    <t>Defect</t>
  </si>
  <si>
    <t>Before</t>
  </si>
  <si>
    <t>Fix</t>
  </si>
  <si>
    <t>Retest</t>
  </si>
  <si>
    <t>Spaces-only Goal Name bypassed validation</t>
  </si>
  <si>
    <t>Trim input before validating</t>
  </si>
  <si>
    <t>Spaces-only input now blocked</t>
  </si>
  <si>
    <t>Validation wording inconsistent/browser-dependent</t>
  </si>
  <si>
    <t>Standardized custom validation messages</t>
  </si>
  <si>
    <t>Invalid inputs now show consistent messages</t>
  </si>
  <si>
    <t>Regression</t>
  </si>
  <si>
    <t>Finance engine could potentially be affected by JS changes</t>
  </si>
  <si>
    <t>Automated regression suite</t>
  </si>
  <si>
    <t>9/9 PASS</t>
  </si>
  <si>
    <t>Status</t>
  </si>
  <si>
    <t>Closed - Pass</t>
  </si>
  <si>
    <r>
      <t>Regression Testing</t>
    </r>
    <r>
      <rPr>
        <sz val="11"/>
        <color theme="1"/>
        <rFont val="Aptos Narrow"/>
        <family val="2"/>
        <scheme val="minor"/>
      </rPr>
      <t>:</t>
    </r>
  </si>
  <si>
    <r>
      <t xml:space="preserve">1. Following validation changes, the automated Vitest finance suite was rerun. </t>
    </r>
    <r>
      <rPr>
        <b/>
        <sz val="11"/>
        <color theme="1"/>
        <rFont val="Aptos Narrow"/>
        <family val="2"/>
        <scheme val="minor"/>
      </rPr>
      <t>All 9 tests passed (9/9)</t>
    </r>
    <r>
      <rPr>
        <sz val="11"/>
        <color theme="1"/>
        <rFont val="Aptos Narrow"/>
        <family val="2"/>
        <scheme val="minor"/>
      </rPr>
      <t>, confirming that the validation changes did not alter the verified financial calculation engine.</t>
    </r>
  </si>
  <si>
    <t>2. Valid boundary cases were manually confirmed:</t>
  </si>
  <si>
    <t>3. Current Savings = 0, Inflation = 0%, and Expected Return = 0% remained valid after the changes.</t>
  </si>
  <si>
    <t>Evidence</t>
  </si>
  <si>
    <t>evidence\DEF01 Goal Name contain only Spaces.png</t>
  </si>
  <si>
    <t>evidence\DEF02 Message Consistency.png</t>
  </si>
  <si>
    <t>Accessibility audit status</t>
  </si>
  <si>
    <t>Test</t>
  </si>
  <si>
    <t>Result</t>
  </si>
  <si>
    <r>
      <t>A11Y-01</t>
    </r>
    <r>
      <rPr>
        <sz val="11"/>
        <color theme="1"/>
        <rFont val="Aptos Narrow"/>
        <family val="2"/>
        <scheme val="minor"/>
      </rPr>
      <t xml:space="preserve"> Keyboard navigation &amp; visible focus</t>
    </r>
  </si>
  <si>
    <r>
      <t>A11Y-02</t>
    </r>
    <r>
      <rPr>
        <sz val="11"/>
        <color theme="1"/>
        <rFont val="Aptos Narrow"/>
        <family val="2"/>
        <scheme val="minor"/>
      </rPr>
      <t xml:space="preserve"> 200% zoom/reflow</t>
    </r>
  </si>
  <si>
    <r>
      <t>A11Y-03</t>
    </r>
    <r>
      <rPr>
        <sz val="11"/>
        <color theme="1"/>
        <rFont val="Aptos Narrow"/>
        <family val="2"/>
        <scheme val="minor"/>
      </rPr>
      <t xml:space="preserve"> Chrome Lighthouse Accessibility</t>
    </r>
  </si>
  <si>
    <t>Pass</t>
  </si>
  <si>
    <t>evidence\A11Y_01_keyboard_focus.png</t>
  </si>
  <si>
    <t>evidence\A11Y-02 — 200% Zoom.png</t>
  </si>
  <si>
    <t>evidence\A11Y-03 — Lighthouse Accessibility.png</t>
  </si>
  <si>
    <t>All interactive controls in the final production application were reachable using keyboard-only navigation. Forward and reverse tab navigation worked logically, visible focus indicators were present, controls could be activated using expected keyboard actions, and no keyboard trap was observed</t>
  </si>
  <si>
    <t>No overlap, breakage or loss of functionality; screenshot captured.</t>
  </si>
  <si>
    <t>Environment: Production Vercel deployment / Google Chrome Lighthouse
Automated accessibility audit reported no scored accessibility failures. Lighthouse's additional manual-check items were addressed separately through manual accessibility testing.</t>
  </si>
  <si>
    <t xml:space="preserve"> 100/100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</si>
</sst>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000%"/>
  </numFmts>
  <fonts count="7">
    <font>
      <sz val="11"/>
      <color theme="1"/>
      <name val="Aptos Narrow"/>
      <family val="2"/>
      <scheme val="minor"/>
    </font>
    <font>
      <b/>
      <sz val="11"/>
      <color theme="1"/>
      <name val="Aptos Narrow"/>
      <family val="2"/>
      <scheme val="minor"/>
    </font>
    <font>
      <sz val="10"/>
      <color theme="1"/>
      <name val="Arial Unicode MS"/>
    </font>
    <font>
      <b/>
      <sz val="11"/>
      <color theme="0"/>
      <name val="Aptos Narrow"/>
      <family val="2"/>
      <scheme val="minor"/>
    </font>
    <font>
      <sz val="11"/>
      <color theme="0"/>
      <name val="Aptos Narrow"/>
      <family val="2"/>
      <scheme val="minor"/>
    </font>
    <font>
      <u/>
      <sz val="11"/>
      <color theme="10"/>
      <name val="Aptos Narrow"/>
      <family val="2"/>
      <scheme val="minor"/>
    </font>
    <font>
      <b/>
      <sz val="13.5"/>
      <color theme="1"/>
      <name val="Aptos Narrow"/>
      <family val="2"/>
      <scheme val="minor"/>
    </font>
  </fonts>
  <fills count="3">
    <fill>
      <patternFill patternType="none"/>
    </fill>
    <fill>
      <patternFill patternType="gray125"/>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0" fillId="0" borderId="1" xfId="0" applyBorder="1" applyAlignment="1" applyProtection="1">
      <alignment vertical="center" wrapText="1"/>
      <protection locked="0"/>
    </xf>
    <xf numFmtId="0" fontId="3" fillId="2" borderId="4" xfId="0" applyFont="1" applyFill="1" applyBorder="1" applyAlignment="1" applyProtection="1">
      <alignment vertical="center" wrapText="1"/>
      <protection locked="0"/>
    </xf>
    <xf numFmtId="0" fontId="3" fillId="2" borderId="3" xfId="0" applyFont="1" applyFill="1" applyBorder="1" applyAlignment="1" applyProtection="1">
      <alignment vertical="center" wrapText="1"/>
      <protection locked="0"/>
    </xf>
    <xf numFmtId="0" fontId="0" fillId="0" borderId="0" xfId="0" applyProtection="1">
      <protection locked="0"/>
    </xf>
    <xf numFmtId="0" fontId="3" fillId="2" borderId="5" xfId="0" applyFont="1" applyFill="1" applyBorder="1" applyAlignment="1" applyProtection="1">
      <alignment vertical="center" wrapText="1"/>
      <protection locked="0"/>
    </xf>
    <xf numFmtId="0" fontId="4" fillId="2" borderId="2" xfId="0" applyFont="1" applyFill="1" applyBorder="1" applyAlignment="1" applyProtection="1">
      <alignment vertical="center" wrapText="1"/>
      <protection locked="0"/>
    </xf>
    <xf numFmtId="0" fontId="0" fillId="0" borderId="2" xfId="0" applyBorder="1" applyAlignment="1" applyProtection="1">
      <alignment vertical="center" wrapText="1"/>
      <protection locked="0"/>
    </xf>
    <xf numFmtId="164" fontId="2" fillId="0" borderId="1" xfId="0" applyNumberFormat="1" applyFont="1" applyBorder="1" applyAlignment="1" applyProtection="1">
      <alignment vertical="center" wrapText="1"/>
      <protection locked="0"/>
    </xf>
    <xf numFmtId="0" fontId="2" fillId="0" borderId="1" xfId="0" applyFont="1" applyBorder="1" applyAlignment="1" applyProtection="1">
      <alignment vertical="center" wrapText="1"/>
      <protection locked="0"/>
    </xf>
    <xf numFmtId="9" fontId="2" fillId="0" borderId="1" xfId="0" applyNumberFormat="1" applyFont="1" applyBorder="1" applyAlignment="1" applyProtection="1">
      <alignment vertical="center" wrapText="1"/>
      <protection locked="0"/>
    </xf>
    <xf numFmtId="0" fontId="3" fillId="2" borderId="1" xfId="0" applyFont="1" applyFill="1" applyBorder="1" applyAlignment="1" applyProtection="1">
      <alignment vertical="center" wrapText="1"/>
      <protection locked="0"/>
    </xf>
    <xf numFmtId="164" fontId="0" fillId="0" borderId="0" xfId="0" applyNumberFormat="1" applyProtection="1">
      <protection locked="0"/>
    </xf>
    <xf numFmtId="0" fontId="2" fillId="0" borderId="1" xfId="0" applyFont="1" applyBorder="1" applyAlignment="1">
      <alignment vertical="center" wrapText="1"/>
    </xf>
    <xf numFmtId="165" fontId="2" fillId="0" borderId="1" xfId="0" applyNumberFormat="1" applyFont="1" applyBorder="1" applyAlignment="1">
      <alignment vertical="center" wrapText="1"/>
    </xf>
    <xf numFmtId="0" fontId="0" fillId="2" borderId="1" xfId="0" applyFill="1" applyBorder="1" applyAlignment="1">
      <alignment vertical="center" wrapText="1"/>
    </xf>
    <xf numFmtId="164" fontId="2" fillId="0" borderId="1" xfId="0" applyNumberFormat="1" applyFont="1" applyBorder="1" applyAlignment="1">
      <alignment vertical="center" wrapText="1"/>
    </xf>
    <xf numFmtId="0" fontId="0" fillId="0" borderId="0" xfId="0"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3" fillId="2" borderId="1"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wrapText="1"/>
      <protection locked="0"/>
    </xf>
    <xf numFmtId="0" fontId="0" fillId="0" borderId="6" xfId="0" applyBorder="1" applyAlignment="1">
      <alignment vertical="center" wrapText="1"/>
    </xf>
    <xf numFmtId="0" fontId="0" fillId="0" borderId="3" xfId="0" applyBorder="1" applyAlignment="1">
      <alignment vertical="center" wrapText="1"/>
    </xf>
    <xf numFmtId="0" fontId="5" fillId="0" borderId="1" xfId="1" applyBorder="1" applyAlignment="1">
      <alignment vertical="center" wrapText="1"/>
    </xf>
    <xf numFmtId="0" fontId="1" fillId="0" borderId="1" xfId="0" applyFont="1" applyBorder="1" applyAlignment="1">
      <alignment horizontal="center" vertical="center" wrapText="1"/>
    </xf>
    <xf numFmtId="0" fontId="6" fillId="0" borderId="0" xfId="0" applyFont="1" applyAlignment="1">
      <alignment vertical="center"/>
    </xf>
    <xf numFmtId="0" fontId="0" fillId="0" borderId="1" xfId="0" applyBorder="1" applyAlignment="1">
      <alignment vertical="center"/>
    </xf>
    <xf numFmtId="0" fontId="1" fillId="0" borderId="0" xfId="0" applyFont="1" applyAlignment="1" applyProtection="1">
      <alignment horizontal="left" vertical="top" wrapText="1"/>
      <protection locked="0"/>
    </xf>
    <xf numFmtId="0" fontId="3" fillId="2" borderId="7" xfId="0"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0" fillId="0" borderId="1" xfId="0" applyBorder="1" applyAlignment="1">
      <alignment vertical="center" wrapText="1"/>
    </xf>
    <xf numFmtId="0" fontId="3" fillId="2" borderId="5" xfId="0" applyFont="1" applyFill="1" applyBorder="1" applyAlignment="1" applyProtection="1">
      <alignment horizontal="center" vertical="center" wrapText="1"/>
      <protection locked="0"/>
    </xf>
    <xf numFmtId="0" fontId="3" fillId="2" borderId="9" xfId="0" applyFont="1" applyFill="1" applyBorder="1" applyAlignment="1" applyProtection="1">
      <alignment horizontal="center" vertical="center"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8400-0682-46A5-A06B-C879E5C6D2A2}">
  <dimension ref="A1:B18"/>
  <sheetViews>
    <sheetView workbookViewId="0"/>
  </sheetViews>
  <sheetFormatPr defaultRowHeight="14.4"/>
  <cols>
    <col min="1" max="1" width="32.6640625" style="4" customWidth="1"/>
    <col min="2" max="2" width="13.33203125" style="4" bestFit="1" customWidth="1"/>
    <col min="3" max="16384" width="8.88671875" style="4"/>
  </cols>
  <sheetData>
    <row r="1" spans="1:2" ht="28.8">
      <c r="A1" s="2" t="s">
        <v>12</v>
      </c>
      <c r="B1" s="3" t="s">
        <v>16</v>
      </c>
    </row>
    <row r="2" spans="1:2">
      <c r="A2" s="5" t="s">
        <v>13</v>
      </c>
      <c r="B2" s="6"/>
    </row>
    <row r="3" spans="1:2">
      <c r="A3" s="7" t="s">
        <v>0</v>
      </c>
      <c r="B3" s="8">
        <v>1200000</v>
      </c>
    </row>
    <row r="4" spans="1:2">
      <c r="A4" s="1" t="s">
        <v>1</v>
      </c>
      <c r="B4" s="9">
        <v>10</v>
      </c>
    </row>
    <row r="5" spans="1:2">
      <c r="A5" s="1" t="s">
        <v>2</v>
      </c>
      <c r="B5" s="10">
        <v>0.06</v>
      </c>
    </row>
    <row r="6" spans="1:2">
      <c r="A6" s="1" t="s">
        <v>3</v>
      </c>
      <c r="B6" s="10">
        <v>0.1</v>
      </c>
    </row>
    <row r="7" spans="1:2">
      <c r="A7" s="1" t="s">
        <v>4</v>
      </c>
      <c r="B7" s="8">
        <v>150000</v>
      </c>
    </row>
    <row r="8" spans="1:2">
      <c r="A8" s="1" t="s">
        <v>5</v>
      </c>
      <c r="B8" s="13">
        <f>years_to_Goal*12</f>
        <v>120</v>
      </c>
    </row>
    <row r="9" spans="1:2">
      <c r="A9" s="1" t="s">
        <v>6</v>
      </c>
      <c r="B9" s="14">
        <f>(1+Expected_Investment_Return)^(1/12)-1</f>
        <v>7.9741404289037643E-3</v>
      </c>
    </row>
    <row r="10" spans="1:2">
      <c r="A10" s="11" t="s">
        <v>14</v>
      </c>
      <c r="B10" s="15"/>
    </row>
    <row r="11" spans="1:2">
      <c r="A11" s="1" t="s">
        <v>7</v>
      </c>
      <c r="B11" s="16">
        <f>Goal_amout_today*(1+Annual_Infaltion_Rate)^years_to_Goal</f>
        <v>2149017.2358514257</v>
      </c>
    </row>
    <row r="12" spans="1:2">
      <c r="A12" s="1" t="s">
        <v>8</v>
      </c>
      <c r="B12" s="16">
        <f>current_Saving*(1+Expected_Investment_Return)^years_to_Goal</f>
        <v>389061.36901500029</v>
      </c>
    </row>
    <row r="13" spans="1:2">
      <c r="A13" s="1" t="s">
        <v>9</v>
      </c>
      <c r="B13" s="16">
        <f>MAX(0,Goal_Value-fund_Value_of_Current_Savings)</f>
        <v>1759955.8668364254</v>
      </c>
    </row>
    <row r="14" spans="1:2">
      <c r="A14" s="1" t="s">
        <v>10</v>
      </c>
      <c r="B14" s="16">
        <f>IF(effective_monthly_rate=0,Funding_Gap/Number_of_Months,Funding_Gap*effective_monthly_rate/((1+effective_monthly_rate)^Number_of_Months-1))</f>
        <v>8805.7735689278506</v>
      </c>
    </row>
    <row r="15" spans="1:2">
      <c r="A15" s="1" t="s">
        <v>11</v>
      </c>
      <c r="B15" s="16">
        <f>Required_Monthly_contribution*Number_of_Months</f>
        <v>1056692.828271342</v>
      </c>
    </row>
    <row r="16" spans="1:2">
      <c r="A16" s="1" t="s">
        <v>15</v>
      </c>
      <c r="B16" s="16">
        <f>Funding_Gap-Total_Monhtly_contributions</f>
        <v>703263.03856508341</v>
      </c>
    </row>
    <row r="17" spans="1:2">
      <c r="B17" s="12"/>
    </row>
    <row r="18" spans="1:2" ht="45.6" customHeight="1">
      <c r="A18" s="28" t="s">
        <v>17</v>
      </c>
      <c r="B18" s="28"/>
    </row>
  </sheetData>
  <sheetProtection sheet="1"/>
  <mergeCells count="1">
    <mergeCell ref="A18:B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46A69-7A9F-4FD4-8084-13C5A2007021}">
  <dimension ref="A1:H25"/>
  <sheetViews>
    <sheetView topLeftCell="A3" workbookViewId="0">
      <selection activeCell="B20" sqref="B20"/>
    </sheetView>
  </sheetViews>
  <sheetFormatPr defaultRowHeight="14.4"/>
  <cols>
    <col min="1" max="1" width="24.109375" customWidth="1"/>
    <col min="2" max="2" width="32.33203125" customWidth="1"/>
    <col min="3" max="3" width="38" customWidth="1"/>
    <col min="5" max="5" width="28.21875" customWidth="1"/>
    <col min="6" max="6" width="19" customWidth="1"/>
    <col min="8" max="8" width="19.6640625" customWidth="1"/>
  </cols>
  <sheetData>
    <row r="1" spans="1:8">
      <c r="A1" s="20" t="s">
        <v>18</v>
      </c>
      <c r="B1" s="20" t="s">
        <v>19</v>
      </c>
      <c r="C1" s="20" t="s">
        <v>20</v>
      </c>
      <c r="D1" s="20" t="s">
        <v>21</v>
      </c>
      <c r="E1" s="21" t="s">
        <v>29</v>
      </c>
      <c r="F1" s="21" t="s">
        <v>31</v>
      </c>
      <c r="G1" s="21" t="s">
        <v>81</v>
      </c>
      <c r="H1" s="21" t="s">
        <v>87</v>
      </c>
    </row>
    <row r="2" spans="1:8" ht="57.6">
      <c r="A2" s="18" t="s">
        <v>22</v>
      </c>
      <c r="B2" s="19" t="s">
        <v>23</v>
      </c>
      <c r="C2" s="19" t="s">
        <v>24</v>
      </c>
      <c r="D2" s="18" t="s">
        <v>25</v>
      </c>
      <c r="E2" s="23" t="s">
        <v>30</v>
      </c>
      <c r="F2" s="22" t="s">
        <v>32</v>
      </c>
      <c r="G2" s="19" t="s">
        <v>82</v>
      </c>
      <c r="H2" s="19" t="s">
        <v>88</v>
      </c>
    </row>
    <row r="3" spans="1:8" ht="244.8">
      <c r="A3" s="18" t="s">
        <v>26</v>
      </c>
      <c r="B3" s="19" t="s">
        <v>27</v>
      </c>
      <c r="C3" s="19" t="s">
        <v>33</v>
      </c>
      <c r="D3" s="18" t="s">
        <v>28</v>
      </c>
      <c r="E3" s="19" t="s">
        <v>65</v>
      </c>
      <c r="F3" s="24" t="s">
        <v>66</v>
      </c>
      <c r="G3" s="19" t="s">
        <v>82</v>
      </c>
      <c r="H3" s="19" t="s">
        <v>89</v>
      </c>
    </row>
    <row r="5" spans="1:8">
      <c r="A5" s="29" t="s">
        <v>34</v>
      </c>
      <c r="B5" s="30"/>
    </row>
    <row r="6" spans="1:8">
      <c r="A6" s="25" t="s">
        <v>35</v>
      </c>
      <c r="B6" s="25" t="s">
        <v>36</v>
      </c>
    </row>
    <row r="7" spans="1:8">
      <c r="A7" s="19" t="s">
        <v>37</v>
      </c>
      <c r="B7" s="19" t="s">
        <v>38</v>
      </c>
    </row>
    <row r="8" spans="1:8">
      <c r="A8" s="19" t="s">
        <v>39</v>
      </c>
      <c r="B8" s="19" t="s">
        <v>40</v>
      </c>
    </row>
    <row r="9" spans="1:8">
      <c r="A9" s="19" t="s">
        <v>41</v>
      </c>
      <c r="B9" s="19" t="s">
        <v>42</v>
      </c>
    </row>
    <row r="10" spans="1:8" ht="28.8">
      <c r="A10" s="19" t="s">
        <v>43</v>
      </c>
      <c r="B10" s="19" t="s">
        <v>44</v>
      </c>
    </row>
    <row r="11" spans="1:8">
      <c r="A11" s="19" t="s">
        <v>45</v>
      </c>
      <c r="B11" s="19" t="s">
        <v>46</v>
      </c>
    </row>
    <row r="12" spans="1:8">
      <c r="A12" s="19" t="s">
        <v>47</v>
      </c>
      <c r="B12" s="19" t="s">
        <v>48</v>
      </c>
    </row>
    <row r="13" spans="1:8">
      <c r="A13" s="19" t="s">
        <v>49</v>
      </c>
      <c r="B13" s="19" t="s">
        <v>50</v>
      </c>
    </row>
    <row r="14" spans="1:8">
      <c r="A14" s="19" t="s">
        <v>51</v>
      </c>
      <c r="B14" s="19" t="s">
        <v>52</v>
      </c>
    </row>
    <row r="15" spans="1:8" ht="28.8">
      <c r="A15" s="19" t="s">
        <v>53</v>
      </c>
      <c r="B15" s="19" t="s">
        <v>54</v>
      </c>
    </row>
    <row r="16" spans="1:8">
      <c r="A16" s="19" t="s">
        <v>55</v>
      </c>
      <c r="B16" s="19" t="s">
        <v>56</v>
      </c>
    </row>
    <row r="17" spans="1:4" ht="28.8">
      <c r="A17" s="19" t="s">
        <v>57</v>
      </c>
      <c r="B17" s="19" t="s">
        <v>58</v>
      </c>
    </row>
    <row r="18" spans="1:4" ht="28.8">
      <c r="A18" s="19" t="s">
        <v>59</v>
      </c>
      <c r="B18" s="19" t="s">
        <v>60</v>
      </c>
    </row>
    <row r="19" spans="1:4" ht="28.8">
      <c r="A19" s="19" t="s">
        <v>61</v>
      </c>
      <c r="B19" s="19" t="s">
        <v>62</v>
      </c>
    </row>
    <row r="20" spans="1:4" ht="28.8">
      <c r="A20" s="19" t="s">
        <v>63</v>
      </c>
      <c r="B20" s="19" t="s">
        <v>64</v>
      </c>
    </row>
    <row r="22" spans="1:4">
      <c r="A22" s="32" t="s">
        <v>83</v>
      </c>
      <c r="B22" s="33"/>
      <c r="C22" s="33"/>
      <c r="D22" s="33"/>
    </row>
    <row r="23" spans="1:4" ht="31.8" customHeight="1">
      <c r="A23" s="31" t="s">
        <v>84</v>
      </c>
      <c r="B23" s="31"/>
      <c r="C23" s="31"/>
      <c r="D23" s="31"/>
    </row>
    <row r="24" spans="1:4">
      <c r="A24" s="31" t="s">
        <v>85</v>
      </c>
      <c r="B24" s="31"/>
      <c r="C24" s="31"/>
      <c r="D24" s="31"/>
    </row>
    <row r="25" spans="1:4">
      <c r="A25" s="31" t="s">
        <v>86</v>
      </c>
      <c r="B25" s="31"/>
      <c r="C25" s="31"/>
      <c r="D25" s="31"/>
    </row>
  </sheetData>
  <mergeCells count="5">
    <mergeCell ref="A5:B5"/>
    <mergeCell ref="A23:D23"/>
    <mergeCell ref="A24:D24"/>
    <mergeCell ref="A25:D25"/>
    <mergeCell ref="A22:D22"/>
  </mergeCells>
  <hyperlinks>
    <hyperlink ref="F3" location="'Defect Sheet'!A5" display="refer: Propsoed Messages" xr:uid="{3F76CCB0-9416-4ADD-9D49-B21E1964CF5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0105-EC68-4CC6-B77F-75C73595F24C}">
  <dimension ref="A1:D11"/>
  <sheetViews>
    <sheetView tabSelected="1" topLeftCell="A5" workbookViewId="0">
      <selection activeCell="B14" sqref="B14"/>
    </sheetView>
  </sheetViews>
  <sheetFormatPr defaultRowHeight="14.4"/>
  <cols>
    <col min="1" max="1" width="36.21875" customWidth="1"/>
    <col min="2" max="2" width="44.44140625" customWidth="1"/>
    <col min="3" max="3" width="41.21875" bestFit="1" customWidth="1"/>
    <col min="4" max="4" width="41.33203125" customWidth="1"/>
  </cols>
  <sheetData>
    <row r="1" spans="1:4">
      <c r="A1" s="2" t="s">
        <v>67</v>
      </c>
      <c r="B1" s="2" t="s">
        <v>68</v>
      </c>
      <c r="C1" s="2" t="s">
        <v>69</v>
      </c>
      <c r="D1" s="2" t="s">
        <v>70</v>
      </c>
    </row>
    <row r="2" spans="1:4">
      <c r="A2" s="19" t="s">
        <v>22</v>
      </c>
      <c r="B2" s="19" t="s">
        <v>71</v>
      </c>
      <c r="C2" s="19" t="s">
        <v>72</v>
      </c>
      <c r="D2" s="19" t="s">
        <v>73</v>
      </c>
    </row>
    <row r="3" spans="1:4">
      <c r="A3" s="19" t="s">
        <v>26</v>
      </c>
      <c r="B3" s="19" t="s">
        <v>74</v>
      </c>
      <c r="C3" s="19" t="s">
        <v>75</v>
      </c>
      <c r="D3" s="19" t="s">
        <v>76</v>
      </c>
    </row>
    <row r="4" spans="1:4" ht="28.8">
      <c r="A4" s="19" t="s">
        <v>77</v>
      </c>
      <c r="B4" s="19" t="s">
        <v>78</v>
      </c>
      <c r="C4" s="19" t="s">
        <v>79</v>
      </c>
      <c r="D4" s="18" t="s">
        <v>80</v>
      </c>
    </row>
    <row r="6" spans="1:4" ht="18">
      <c r="A6" s="26" t="s">
        <v>90</v>
      </c>
    </row>
    <row r="8" spans="1:4">
      <c r="A8" s="2" t="s">
        <v>91</v>
      </c>
      <c r="B8" s="2"/>
      <c r="C8" s="2" t="s">
        <v>92</v>
      </c>
      <c r="D8" s="2" t="s">
        <v>87</v>
      </c>
    </row>
    <row r="9" spans="1:4" ht="86.4">
      <c r="A9" s="18" t="s">
        <v>93</v>
      </c>
      <c r="B9" s="17" t="s">
        <v>100</v>
      </c>
      <c r="C9" s="19" t="s">
        <v>96</v>
      </c>
      <c r="D9" s="19" t="s">
        <v>97</v>
      </c>
    </row>
    <row r="10" spans="1:4" ht="28.8">
      <c r="A10" s="18" t="s">
        <v>94</v>
      </c>
      <c r="B10" s="18" t="s">
        <v>101</v>
      </c>
      <c r="C10" s="19" t="s">
        <v>96</v>
      </c>
      <c r="D10" s="27" t="s">
        <v>98</v>
      </c>
    </row>
    <row r="11" spans="1:4" ht="100.8">
      <c r="A11" s="18" t="s">
        <v>95</v>
      </c>
      <c r="B11" s="17" t="s">
        <v>102</v>
      </c>
      <c r="C11" s="19" t="s">
        <v>103</v>
      </c>
      <c r="D11" s="19"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13</vt:i4>
      </vt:variant>
    </vt:vector>
  </HeadingPairs>
  <TitlesOfParts>
    <vt:vector size="16" baseType="lpstr">
      <vt:lpstr>Calculation Assumptions</vt:lpstr>
      <vt:lpstr>Defect Sheet</vt:lpstr>
      <vt:lpstr>Audhit Trail</vt:lpstr>
      <vt:lpstr>Annual_Infaltion_Rate</vt:lpstr>
      <vt:lpstr>current_Saving</vt:lpstr>
      <vt:lpstr>effective_monthly_rate</vt:lpstr>
      <vt:lpstr>Expected_Investment_Return</vt:lpstr>
      <vt:lpstr>fund_Value_of_Current_Savings</vt:lpstr>
      <vt:lpstr>Funding_Gap</vt:lpstr>
      <vt:lpstr>Goal_amout_today</vt:lpstr>
      <vt:lpstr>Goal_Value</vt:lpstr>
      <vt:lpstr>Number_of_Months</vt:lpstr>
      <vt:lpstr>Projected_growth</vt:lpstr>
      <vt:lpstr>Required_Monthly_contribution</vt:lpstr>
      <vt:lpstr>Total_Monhtly_contributions</vt:lpstr>
      <vt:lpstr>years_to_Goal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2026-09-07T18:16:19Z</dcterms:created>
  <dcterms:modified xsi:type="dcterms:W3CDTF">2026-09-09T19:19:08Z</dcterms:modified>
</cp:coreProperties>
</file>